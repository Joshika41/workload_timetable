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CA - Room Inventory" sheetId="1" r:id="rId5"/>
    <sheet state="visible" name="BSc CS - Room Inventory" sheetId="2" r:id="rId6"/>
    <sheet state="visible" name="MSc CS - Room Inventory" sheetId="3" r:id="rId7"/>
  </sheets>
  <definedNames/>
  <calcPr/>
</workbook>
</file>

<file path=xl/sharedStrings.xml><?xml version="1.0" encoding="utf-8"?>
<sst xmlns="http://schemas.openxmlformats.org/spreadsheetml/2006/main" count="358" uniqueCount="144">
  <si>
    <t>DEPARTMENT OF M.SC. COMPUTER SCIENCE</t>
  </si>
  <si>
    <t>DEPARTMENT OF MASTER OF COMPUTER APPLICATIONS (MCA)</t>
  </si>
  <si>
    <t>DEPARTMENT OF B.SC. COMPUTER SCIENCE (SHIFT 1)</t>
  </si>
  <si>
    <t>Block: Block 5 | Postgraduate Cohorts, Shared Classroom &amp; Lab Allocation Tracker</t>
  </si>
  <si>
    <t>Block: PG Block | Room Inventory &amp; Section Allocation Tracker</t>
  </si>
  <si>
    <t>Block: Block 5 &amp; BMS Block | Academic Cohorts, Classrooms &amp; Shared Labs Allocation Tracker</t>
  </si>
  <si>
    <t/>
  </si>
  <si>
    <t>TOTAL POSTGRADUATE SECTIONS</t>
  </si>
  <si>
    <t>TOTAL ACADEMIC SECTIONS</t>
  </si>
  <si>
    <t>TOTAL ACTIVE SECTIONS</t>
  </si>
  <si>
    <t>TOTAL STUDENT ENROLLMENT</t>
  </si>
  <si>
    <t>TOTAL POSTGRADUATE ENROLLMENT</t>
  </si>
  <si>
    <t>ALLOCATED CLASSROOMS &amp; LABS</t>
  </si>
  <si>
    <t>ALLOCATED FACILITIES (SHARED)</t>
  </si>
  <si>
    <t>TOTAL FACILITY CAPACITY</t>
  </si>
  <si>
    <t>TOTAL ACTIVE ENROLLMENT</t>
  </si>
  <si>
    <t>TOTAL VENUE CAPACITY</t>
  </si>
  <si>
    <t>TOTAL FACILITIES (ROOMS/LABS)</t>
  </si>
  <si>
    <t>TOTAL SEATING CAPACITY</t>
  </si>
  <si>
    <t>1. ACADEMIC SECTIONS &amp; COHORT ALLOCATIONS</t>
  </si>
  <si>
    <t>1. POSTGRADUATE ACADEMIC SECTIONS &amp; ALLOCATIONS</t>
  </si>
  <si>
    <t>1. ACADEMIC SECTIONS &amp; CLASSROOM / LAB ALLOCATION (SHIFT 1)</t>
  </si>
  <si>
    <t>Academic Level / Year</t>
  </si>
  <si>
    <t>Section</t>
  </si>
  <si>
    <t>Section Status</t>
  </si>
  <si>
    <t>Class Strength</t>
  </si>
  <si>
    <t>Primary Classroom</t>
  </si>
  <si>
    <t>Shift / Schedule</t>
  </si>
  <si>
    <t>Allocated Classroom</t>
  </si>
  <si>
    <t>Assigned Laboratory</t>
  </si>
  <si>
    <t>Block Location</t>
  </si>
  <si>
    <t>Operational Notes</t>
  </si>
  <si>
    <t>M.Sc. CS 1st Year</t>
  </si>
  <si>
    <t>Assigned Lab Venue</t>
  </si>
  <si>
    <t>MCA 1st Year</t>
  </si>
  <si>
    <t>Section A</t>
  </si>
  <si>
    <t>Active</t>
  </si>
  <si>
    <t>B.Sc. CS 1st Year</t>
  </si>
  <si>
    <t>Room 204</t>
  </si>
  <si>
    <t>Room 103</t>
  </si>
  <si>
    <t>4th Floor Lab</t>
  </si>
  <si>
    <t>Block 5</t>
  </si>
  <si>
    <t>PG Lab 1</t>
  </si>
  <si>
    <t>Core Postgraduate Curriculum</t>
  </si>
  <si>
    <t>Shift 1</t>
  </si>
  <si>
    <t>PG Block</t>
  </si>
  <si>
    <t>M.Sc. CS 2nd Year</t>
  </si>
  <si>
    <t>Core Curriculum</t>
  </si>
  <si>
    <t>Room 200</t>
  </si>
  <si>
    <t>Section B</t>
  </si>
  <si>
    <t>Regular Shift 1 Batch</t>
  </si>
  <si>
    <t>Specialization &amp; Thesis Research</t>
  </si>
  <si>
    <t>Room 104</t>
  </si>
  <si>
    <t>Total Active M.Sc. Cohorts</t>
  </si>
  <si>
    <t>MCA 2nd Year</t>
  </si>
  <si>
    <t>2 Sections</t>
  </si>
  <si>
    <t>Room 301</t>
  </si>
  <si>
    <t>PG Lab 2</t>
  </si>
  <si>
    <t>Shared Lecture Room with Sec A / Electives</t>
  </si>
  <si>
    <t>Total Active MCA Cohorts</t>
  </si>
  <si>
    <t>4 Sections</t>
  </si>
  <si>
    <t>1 Classroom (Shared)</t>
  </si>
  <si>
    <t>1 Lab (Shared)</t>
  </si>
  <si>
    <t>Postgraduate batch size 20 per year</t>
  </si>
  <si>
    <t>2. FACILITY &amp; SHARED INFRASTRUCTURE INVENTORY (BLOCK 5)</t>
  </si>
  <si>
    <t>Facility Identifier</t>
  </si>
  <si>
    <t>Facility Type</t>
  </si>
  <si>
    <t>Seating Capacity</t>
  </si>
  <si>
    <t>Standard Class Strength</t>
  </si>
  <si>
    <t>3 Classrooms</t>
  </si>
  <si>
    <t>Utilization Ratio</t>
  </si>
  <si>
    <t>2 Labs</t>
  </si>
  <si>
    <t>Sharing &amp; Co-Tenancy Details</t>
  </si>
  <si>
    <t>Facility Status</t>
  </si>
  <si>
    <t>All sections operating at 70 student capacity</t>
  </si>
  <si>
    <t>Classroom</t>
  </si>
  <si>
    <t>2. FACILITY &amp; ROOM INVENTORY (PG BLOCK)</t>
  </si>
  <si>
    <t>Room / Lab Identifier</t>
  </si>
  <si>
    <t>Standard Batch Size</t>
  </si>
  <si>
    <t>Primary User Group</t>
  </si>
  <si>
    <t>Shared room with M.Sc. CS</t>
  </si>
  <si>
    <t>B.Sc. CS 2nd Year</t>
  </si>
  <si>
    <t>Room 205</t>
  </si>
  <si>
    <t>Core CS Laboratory Coursework</t>
  </si>
  <si>
    <t>Shared with B.Sc. CS (1st Yr Sec B &amp; 3rd Yr Sec D)</t>
  </si>
  <si>
    <t>Active Shared Facility</t>
  </si>
  <si>
    <t>Room 304</t>
  </si>
  <si>
    <t>BMS Lab</t>
  </si>
  <si>
    <t>Computer Laboratory</t>
  </si>
  <si>
    <t>MCA 1st Year (Section A)</t>
  </si>
  <si>
    <t>Block 5 / BMS Block</t>
  </si>
  <si>
    <t>BMS Lab sharing arrangement</t>
  </si>
  <si>
    <t>Shared with B.Sc. CS (Regular batches)</t>
  </si>
  <si>
    <t>Section C</t>
  </si>
  <si>
    <t>Total Shared Facilities</t>
  </si>
  <si>
    <t>MCA 1st Year (Section B)</t>
  </si>
  <si>
    <t>2 Venues (1 Room + 1 Lab)</t>
  </si>
  <si>
    <t>Room 305</t>
  </si>
  <si>
    <t>MCA 2nd Year (Sections A &amp; B)</t>
  </si>
  <si>
    <t>Section D</t>
  </si>
  <si>
    <t>MCA 1st Year (Sections A &amp; B)</t>
  </si>
  <si>
    <t>Staggered lecture schedule</t>
  </si>
  <si>
    <t>B.Sc. CS 3rd Year</t>
  </si>
  <si>
    <t>Total Facility Capacity</t>
  </si>
  <si>
    <t>5 Venues</t>
  </si>
  <si>
    <t>M.Sc. &amp; B.Sc. Computer Science</t>
  </si>
  <si>
    <t>Advanced Project &amp; Systems Lab</t>
  </si>
  <si>
    <t>Operational</t>
  </si>
  <si>
    <t>Shared room with M.Sc. CS / BMS Lab</t>
  </si>
  <si>
    <t>Total Active B.Sc. Cohorts</t>
  </si>
  <si>
    <t>10 Sections</t>
  </si>
  <si>
    <t>Master of Computer Applications</t>
  </si>
  <si>
    <t>3. MCA GENERAL AI (ARCHIVED / STANDBY COHORT DATA - NOT IN ACTIVE USE)</t>
  </si>
  <si>
    <t>5 Classrooms</t>
  </si>
  <si>
    <t>Block 5 &amp; BMS</t>
  </si>
  <si>
    <t>Full capacity across 10 sections</t>
  </si>
  <si>
    <t>Allocation Status</t>
  </si>
  <si>
    <t>2. FACILITY &amp; ROOM INVENTORY (BLOCK 5 &amp; BMS BLOCK)</t>
  </si>
  <si>
    <t>Primary User Group / Sharing Details</t>
  </si>
  <si>
    <t>Administrative Notes</t>
  </si>
  <si>
    <t>MCA Gen AI 1st Year</t>
  </si>
  <si>
    <t>Standby / Preserved</t>
  </si>
  <si>
    <t>Unallocated</t>
  </si>
  <si>
    <t>Data archived without active resource allocation</t>
  </si>
  <si>
    <t>MCA Gen AI 2nd Year</t>
  </si>
  <si>
    <t>B.Sc. CS (1st Yr Sec A, 3rd Yr Sec C)</t>
  </si>
  <si>
    <t>Total Standby Gen AI Cohorts</t>
  </si>
  <si>
    <t>B.Sc. CS (1st Yr Sec B, 3rd Yr Sec D) &amp; M.Sc. CS</t>
  </si>
  <si>
    <t>Archived</t>
  </si>
  <si>
    <t>Shared Facility</t>
  </si>
  <si>
    <t>B.Sc. CS (2nd Yr Sec A, 2nd Yr Sec D)</t>
  </si>
  <si>
    <t>0 Classrooms</t>
  </si>
  <si>
    <t>0 Labs</t>
  </si>
  <si>
    <t>Preserved records per department policy</t>
  </si>
  <si>
    <t>B.Sc. CS (2nd Yr Sec B, 3rd Yr Sec A)</t>
  </si>
  <si>
    <t>B.Sc. CS (2nd Yr Sec C, 3rd Yr Sec B)</t>
  </si>
  <si>
    <t>B.Sc. CS (Core) &amp; M.Sc. CS Shared</t>
  </si>
  <si>
    <t>Shared Lab</t>
  </si>
  <si>
    <t>Computer Laboratory (Shared)</t>
  </si>
  <si>
    <t>BMS Block</t>
  </si>
  <si>
    <t>B.Sc. CS (BMS Sharing Arrangement)</t>
  </si>
  <si>
    <t>Total Department Facilities</t>
  </si>
  <si>
    <t>7 Venues (5 Rooms + 2 Labs)</t>
  </si>
  <si>
    <t>B.Sc. Computer Science (Shift 1)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</si>
</sst>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10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i/>
      <sz val="10.0"/>
      <color rgb="FFD6E2FF"/>
      <name val="Arial"/>
      <scheme val="minor"/>
    </font>
    <font>
      <color theme="1"/>
      <name val="Arial"/>
      <scheme val="minor"/>
    </font>
    <font>
      <b/>
      <sz val="9.0"/>
      <color rgb="FF244677"/>
      <name val="Google Sans"/>
    </font>
    <font/>
    <font>
      <b/>
      <sz val="16.0"/>
      <color rgb="FF1A365D"/>
      <name val="Google Sans"/>
    </font>
    <font>
      <b/>
      <sz val="11.0"/>
      <color rgb="FFFFFFFF"/>
      <name val="Google Sans"/>
    </font>
    <font>
      <b/>
      <sz val="10.0"/>
      <color rgb="FFFFFFFF"/>
      <name val="Google Sans"/>
    </font>
    <font>
      <b/>
      <sz val="10.0"/>
      <color theme="1"/>
      <name val="Google Sans"/>
    </font>
  </fonts>
  <fills count="11">
    <fill>
      <patternFill patternType="none"/>
    </fill>
    <fill>
      <patternFill patternType="lightGray"/>
    </fill>
    <fill>
      <patternFill patternType="solid">
        <fgColor rgb="FF1A365D"/>
        <bgColor rgb="FF1A365D"/>
      </patternFill>
    </fill>
    <fill>
      <patternFill patternType="solid">
        <fgColor rgb="FFE7EDFA"/>
        <bgColor rgb="FFE7EDFA"/>
      </patternFill>
    </fill>
    <fill>
      <patternFill patternType="solid">
        <fgColor rgb="FFFFFFFF"/>
        <bgColor rgb="FFFFFFFF"/>
      </patternFill>
    </fill>
    <fill>
      <patternFill patternType="solid">
        <fgColor rgb="FF3E5F90"/>
        <bgColor rgb="FF3E5F90"/>
      </patternFill>
    </fill>
    <fill>
      <patternFill patternType="solid">
        <fgColor rgb="FF244677"/>
        <bgColor rgb="FF244677"/>
      </patternFill>
    </fill>
    <fill>
      <patternFill patternType="solid">
        <fgColor rgb="FFEDF2F9"/>
        <bgColor rgb="FFEDF2F9"/>
      </patternFill>
    </fill>
    <fill>
      <patternFill patternType="solid">
        <fgColor rgb="FF596072"/>
        <bgColor rgb="FF596072"/>
      </patternFill>
    </fill>
    <fill>
      <patternFill patternType="solid">
        <fgColor rgb="FF465469"/>
        <bgColor rgb="FF465469"/>
      </patternFill>
    </fill>
    <fill>
      <patternFill patternType="solid">
        <fgColor rgb="FFEFF2F4"/>
        <bgColor rgb="FFEFF2F4"/>
      </patternFill>
    </fill>
  </fills>
  <borders count="4">
    <border/>
    <border>
      <left style="thin">
        <color rgb="FFBFD1ED"/>
      </left>
      <top style="thin">
        <color rgb="FFBFD1ED"/>
      </top>
      <bottom style="thin">
        <color rgb="FFBFD1ED"/>
      </bottom>
    </border>
    <border>
      <right style="thin">
        <color rgb="FFBFD1ED"/>
      </right>
      <top style="thin">
        <color rgb="FFBFD1ED"/>
      </top>
      <bottom style="thin">
        <color rgb="FFBFD1ED"/>
      </bottom>
    </border>
    <border>
      <left style="thin">
        <color rgb="FFD8E0EA"/>
      </left>
      <right style="thin">
        <color rgb="FFD8E0EA"/>
      </right>
      <top style="thin">
        <color rgb="FFD8E0EA"/>
      </top>
      <bottom style="thin">
        <color rgb="FFD8E0EA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2" numFmtId="0" xfId="0" applyAlignment="1" applyFill="1" applyFont="1">
      <alignment horizontal="center" readingOrder="0" vertical="center"/>
    </xf>
    <xf borderId="0" fillId="0" fontId="3" numFmtId="0" xfId="0" applyAlignment="1" applyFont="1">
      <alignment readingOrder="0"/>
    </xf>
    <xf borderId="1" fillId="3" fontId="4" numFmtId="0" xfId="0" applyAlignment="1" applyBorder="1" applyFill="1" applyFont="1">
      <alignment horizontal="center" readingOrder="0" vertical="center"/>
    </xf>
    <xf borderId="2" fillId="0" fontId="5" numFmtId="0" xfId="0" applyBorder="1" applyFont="1"/>
    <xf borderId="1" fillId="4" fontId="6" numFmtId="3" xfId="0" applyAlignment="1" applyBorder="1" applyFill="1" applyFont="1" applyNumberFormat="1">
      <alignment horizontal="center" vertical="center"/>
    </xf>
    <xf borderId="0" fillId="5" fontId="7" numFmtId="0" xfId="0" applyAlignment="1" applyFill="1" applyFont="1">
      <alignment horizontal="left" readingOrder="0" vertical="center"/>
    </xf>
    <xf borderId="3" fillId="6" fontId="8" numFmtId="0" xfId="0" applyAlignment="1" applyBorder="1" applyFill="1" applyFont="1">
      <alignment horizontal="center" readingOrder="0" vertical="center"/>
    </xf>
    <xf borderId="3" fillId="0" fontId="3" numFmtId="0" xfId="0" applyAlignment="1" applyBorder="1" applyFont="1">
      <alignment readingOrder="0"/>
    </xf>
    <xf borderId="3" fillId="7" fontId="9" numFmtId="0" xfId="0" applyAlignment="1" applyBorder="1" applyFill="1" applyFont="1">
      <alignment readingOrder="0"/>
    </xf>
    <xf borderId="3" fillId="7" fontId="9" numFmtId="0" xfId="0" applyBorder="1" applyFill="1" applyFont="1"/>
    <xf borderId="3" fillId="0" fontId="3" numFmtId="164" xfId="0" applyBorder="1" applyFont="1" applyNumberFormat="1"/>
    <xf borderId="3" fillId="7" fontId="9" numFmtId="164" xfId="0" applyBorder="1" applyFill="1" applyFont="1" applyNumberFormat="1"/>
    <xf borderId="0" fillId="8" fontId="7" numFmtId="0" xfId="0" applyAlignment="1" applyFill="1" applyFont="1">
      <alignment horizontal="left" readingOrder="0" vertical="center"/>
    </xf>
    <xf borderId="3" fillId="9" fontId="8" numFmtId="0" xfId="0" applyAlignment="1" applyBorder="1" applyFill="1" applyFont="1">
      <alignment horizontal="center" readingOrder="0" vertical="center"/>
    </xf>
    <xf borderId="3" fillId="10" fontId="9" numFmtId="0" xfId="0" applyAlignment="1" applyBorder="1" applyFill="1" applyFont="1">
      <alignment readingOrder="0"/>
    </xf>
    <xf borderId="3" fillId="10" fontId="9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8.25"/>
    <col customWidth="1" min="2" max="2" width="16.25"/>
    <col customWidth="1" min="3" max="3" width="20.5"/>
    <col customWidth="1" min="4" max="4" width="13.25"/>
    <col customWidth="1" min="5" max="5" width="23.63"/>
    <col customWidth="1" min="6" max="6" width="16.0"/>
    <col customWidth="1" min="7" max="7" width="25.13"/>
    <col customWidth="1" min="8" max="8" width="35.5"/>
  </cols>
  <sheetData>
    <row r="1" ht="27.0" customHeight="1">
      <c r="A1" s="1" t="s">
        <v>1</v>
      </c>
    </row>
    <row r="2" ht="18.0" customHeight="1">
      <c r="A2" s="2" t="s">
        <v>4</v>
      </c>
    </row>
    <row r="3">
      <c r="A3" s="3" t="s">
        <v>6</v>
      </c>
      <c r="B3" s="3" t="s">
        <v>6</v>
      </c>
      <c r="C3" s="3" t="s">
        <v>6</v>
      </c>
      <c r="D3" s="3" t="s">
        <v>6</v>
      </c>
      <c r="E3" s="3" t="s">
        <v>6</v>
      </c>
      <c r="F3" s="3" t="s">
        <v>6</v>
      </c>
      <c r="G3" s="3" t="s">
        <v>6</v>
      </c>
      <c r="H3" s="3" t="s">
        <v>6</v>
      </c>
    </row>
    <row r="4" ht="19.5" customHeight="1">
      <c r="A4" s="4" t="s">
        <v>9</v>
      </c>
      <c r="B4" s="5"/>
      <c r="C4" s="4" t="s">
        <v>15</v>
      </c>
      <c r="D4" s="5"/>
      <c r="E4" s="4" t="s">
        <v>17</v>
      </c>
      <c r="F4" s="5"/>
      <c r="G4" s="4" t="s">
        <v>18</v>
      </c>
      <c r="H4" s="5"/>
    </row>
    <row r="5" ht="28.5" customHeight="1">
      <c r="A5" s="6">
        <f>COUNTA(B9:B12)</f>
        <v>4</v>
      </c>
      <c r="B5" s="5"/>
      <c r="C5" s="6">
        <f>SUM(D9:D12)</f>
        <v>280</v>
      </c>
      <c r="D5" s="5"/>
      <c r="E5" s="6">
        <f>COUNTA(A17:A21)</f>
        <v>5</v>
      </c>
      <c r="F5" s="5"/>
      <c r="G5" s="6">
        <f>SUM(D17:D21)</f>
        <v>350</v>
      </c>
      <c r="H5" s="5"/>
    </row>
    <row r="7" ht="21.0" customHeight="1">
      <c r="A7" s="7" t="s">
        <v>19</v>
      </c>
    </row>
    <row r="8" ht="21.0" customHeight="1">
      <c r="A8" s="8" t="s">
        <v>22</v>
      </c>
      <c r="B8" s="8" t="s">
        <v>23</v>
      </c>
      <c r="C8" s="8" t="s">
        <v>24</v>
      </c>
      <c r="D8" s="8" t="s">
        <v>25</v>
      </c>
      <c r="E8" s="8" t="s">
        <v>28</v>
      </c>
      <c r="F8" s="8" t="s">
        <v>29</v>
      </c>
      <c r="G8" s="8" t="s">
        <v>30</v>
      </c>
      <c r="H8" s="8" t="s">
        <v>31</v>
      </c>
    </row>
    <row r="9">
      <c r="A9" s="9" t="s">
        <v>34</v>
      </c>
      <c r="B9" s="9" t="s">
        <v>35</v>
      </c>
      <c r="C9" s="9" t="s">
        <v>36</v>
      </c>
      <c r="D9" s="9">
        <v>70.0</v>
      </c>
      <c r="E9" s="9" t="s">
        <v>39</v>
      </c>
      <c r="F9" s="9" t="s">
        <v>42</v>
      </c>
      <c r="G9" s="9" t="s">
        <v>45</v>
      </c>
      <c r="H9" s="9" t="s">
        <v>47</v>
      </c>
    </row>
    <row r="10">
      <c r="A10" s="9" t="s">
        <v>34</v>
      </c>
      <c r="B10" s="9" t="s">
        <v>49</v>
      </c>
      <c r="C10" s="9" t="s">
        <v>36</v>
      </c>
      <c r="D10" s="9">
        <v>70.0</v>
      </c>
      <c r="E10" s="9" t="s">
        <v>52</v>
      </c>
      <c r="F10" s="9" t="s">
        <v>42</v>
      </c>
      <c r="G10" s="9" t="s">
        <v>45</v>
      </c>
      <c r="H10" s="9" t="s">
        <v>47</v>
      </c>
    </row>
    <row r="11">
      <c r="A11" s="9" t="s">
        <v>54</v>
      </c>
      <c r="B11" s="9" t="s">
        <v>35</v>
      </c>
      <c r="C11" s="9" t="s">
        <v>36</v>
      </c>
      <c r="D11" s="9">
        <v>70.0</v>
      </c>
      <c r="E11" s="9" t="s">
        <v>56</v>
      </c>
      <c r="F11" s="9" t="s">
        <v>57</v>
      </c>
      <c r="G11" s="9" t="s">
        <v>45</v>
      </c>
      <c r="H11" s="9" t="s">
        <v>47</v>
      </c>
    </row>
    <row r="12">
      <c r="A12" s="9" t="s">
        <v>54</v>
      </c>
      <c r="B12" s="9" t="s">
        <v>49</v>
      </c>
      <c r="C12" s="9" t="s">
        <v>36</v>
      </c>
      <c r="D12" s="9">
        <v>70.0</v>
      </c>
      <c r="E12" s="9" t="s">
        <v>56</v>
      </c>
      <c r="F12" s="9" t="s">
        <v>57</v>
      </c>
      <c r="G12" s="9" t="s">
        <v>45</v>
      </c>
      <c r="H12" s="9" t="s">
        <v>58</v>
      </c>
    </row>
    <row r="13">
      <c r="A13" s="10" t="s">
        <v>59</v>
      </c>
      <c r="B13" s="10" t="s">
        <v>60</v>
      </c>
      <c r="C13" s="10" t="s">
        <v>36</v>
      </c>
      <c r="D13" s="11">
        <f>SUM(D9:D12)</f>
        <v>280</v>
      </c>
      <c r="E13" s="10" t="s">
        <v>69</v>
      </c>
      <c r="F13" s="10" t="s">
        <v>71</v>
      </c>
      <c r="G13" s="10" t="s">
        <v>45</v>
      </c>
      <c r="H13" s="10" t="s">
        <v>74</v>
      </c>
    </row>
    <row r="15" ht="21.0" customHeight="1">
      <c r="A15" s="7" t="s">
        <v>76</v>
      </c>
    </row>
    <row r="16" ht="21.0" customHeight="1">
      <c r="A16" s="8" t="s">
        <v>77</v>
      </c>
      <c r="B16" s="8" t="s">
        <v>66</v>
      </c>
      <c r="C16" s="8" t="s">
        <v>30</v>
      </c>
      <c r="D16" s="8" t="s">
        <v>67</v>
      </c>
      <c r="E16" s="8" t="s">
        <v>78</v>
      </c>
      <c r="F16" s="8" t="s">
        <v>70</v>
      </c>
      <c r="G16" s="8" t="s">
        <v>79</v>
      </c>
      <c r="H16" s="8" t="s">
        <v>73</v>
      </c>
    </row>
    <row r="17">
      <c r="A17" s="9" t="s">
        <v>39</v>
      </c>
      <c r="B17" s="9" t="s">
        <v>75</v>
      </c>
      <c r="C17" s="9" t="s">
        <v>45</v>
      </c>
      <c r="D17" s="9">
        <v>70.0</v>
      </c>
      <c r="E17" s="9">
        <v>70.0</v>
      </c>
      <c r="F17" s="12">
        <f t="shared" ref="F17:F21" si="1">E17/D17</f>
        <v>1</v>
      </c>
      <c r="G17" s="9" t="s">
        <v>89</v>
      </c>
      <c r="H17" s="9" t="s">
        <v>36</v>
      </c>
    </row>
    <row r="18">
      <c r="A18" s="9" t="s">
        <v>52</v>
      </c>
      <c r="B18" s="9" t="s">
        <v>75</v>
      </c>
      <c r="C18" s="9" t="s">
        <v>45</v>
      </c>
      <c r="D18" s="9">
        <v>70.0</v>
      </c>
      <c r="E18" s="9">
        <v>70.0</v>
      </c>
      <c r="F18" s="12">
        <f t="shared" si="1"/>
        <v>1</v>
      </c>
      <c r="G18" s="9" t="s">
        <v>95</v>
      </c>
      <c r="H18" s="9" t="s">
        <v>36</v>
      </c>
    </row>
    <row r="19">
      <c r="A19" s="9" t="s">
        <v>56</v>
      </c>
      <c r="B19" s="9" t="s">
        <v>75</v>
      </c>
      <c r="C19" s="9" t="s">
        <v>45</v>
      </c>
      <c r="D19" s="9">
        <v>70.0</v>
      </c>
      <c r="E19" s="9">
        <v>70.0</v>
      </c>
      <c r="F19" s="12">
        <f t="shared" si="1"/>
        <v>1</v>
      </c>
      <c r="G19" s="9" t="s">
        <v>98</v>
      </c>
      <c r="H19" s="9" t="s">
        <v>36</v>
      </c>
    </row>
    <row r="20">
      <c r="A20" s="9" t="s">
        <v>42</v>
      </c>
      <c r="B20" s="9" t="s">
        <v>88</v>
      </c>
      <c r="C20" s="9" t="s">
        <v>45</v>
      </c>
      <c r="D20" s="9">
        <v>70.0</v>
      </c>
      <c r="E20" s="9">
        <v>70.0</v>
      </c>
      <c r="F20" s="12">
        <f t="shared" si="1"/>
        <v>1</v>
      </c>
      <c r="G20" s="9" t="s">
        <v>100</v>
      </c>
      <c r="H20" s="9" t="s">
        <v>36</v>
      </c>
    </row>
    <row r="21">
      <c r="A21" s="9" t="s">
        <v>57</v>
      </c>
      <c r="B21" s="9" t="s">
        <v>88</v>
      </c>
      <c r="C21" s="9" t="s">
        <v>45</v>
      </c>
      <c r="D21" s="9">
        <v>70.0</v>
      </c>
      <c r="E21" s="9">
        <v>70.0</v>
      </c>
      <c r="F21" s="12">
        <f t="shared" si="1"/>
        <v>1</v>
      </c>
      <c r="G21" s="9" t="s">
        <v>98</v>
      </c>
      <c r="H21" s="9" t="s">
        <v>36</v>
      </c>
    </row>
    <row r="22">
      <c r="A22" s="10" t="s">
        <v>103</v>
      </c>
      <c r="B22" s="10" t="s">
        <v>104</v>
      </c>
      <c r="C22" s="10" t="s">
        <v>45</v>
      </c>
      <c r="D22" s="11">
        <f t="shared" ref="D22:E22" si="2">SUM(D17:D21)</f>
        <v>350</v>
      </c>
      <c r="E22" s="11">
        <f t="shared" si="2"/>
        <v>350</v>
      </c>
      <c r="F22" s="13">
        <f>AVERAGE(F17:F21)</f>
        <v>1</v>
      </c>
      <c r="G22" s="10" t="s">
        <v>111</v>
      </c>
      <c r="H22" s="10" t="s">
        <v>107</v>
      </c>
    </row>
    <row r="24" ht="21.0" customHeight="1">
      <c r="A24" s="14" t="s">
        <v>112</v>
      </c>
    </row>
    <row r="25" ht="21.0" customHeight="1">
      <c r="A25" s="15" t="s">
        <v>22</v>
      </c>
      <c r="B25" s="15" t="s">
        <v>23</v>
      </c>
      <c r="C25" s="15" t="s">
        <v>116</v>
      </c>
      <c r="D25" s="15" t="s">
        <v>25</v>
      </c>
      <c r="E25" s="15" t="s">
        <v>28</v>
      </c>
      <c r="F25" s="15" t="s">
        <v>29</v>
      </c>
      <c r="G25" s="15" t="s">
        <v>30</v>
      </c>
      <c r="H25" s="15" t="s">
        <v>119</v>
      </c>
    </row>
    <row r="26">
      <c r="A26" s="9" t="s">
        <v>120</v>
      </c>
      <c r="B26" s="9" t="s">
        <v>35</v>
      </c>
      <c r="C26" s="9" t="s">
        <v>121</v>
      </c>
      <c r="D26" s="9">
        <v>70.0</v>
      </c>
      <c r="E26" s="9" t="s">
        <v>122</v>
      </c>
      <c r="F26" s="9" t="s">
        <v>122</v>
      </c>
      <c r="G26" s="9" t="s">
        <v>45</v>
      </c>
      <c r="H26" s="9" t="s">
        <v>123</v>
      </c>
    </row>
    <row r="27">
      <c r="A27" s="9" t="s">
        <v>120</v>
      </c>
      <c r="B27" s="9" t="s">
        <v>49</v>
      </c>
      <c r="C27" s="9" t="s">
        <v>121</v>
      </c>
      <c r="D27" s="9">
        <v>70.0</v>
      </c>
      <c r="E27" s="9" t="s">
        <v>122</v>
      </c>
      <c r="F27" s="9" t="s">
        <v>122</v>
      </c>
      <c r="G27" s="9" t="s">
        <v>45</v>
      </c>
      <c r="H27" s="9" t="s">
        <v>123</v>
      </c>
    </row>
    <row r="28">
      <c r="A28" s="9" t="s">
        <v>124</v>
      </c>
      <c r="B28" s="9" t="s">
        <v>35</v>
      </c>
      <c r="C28" s="9" t="s">
        <v>121</v>
      </c>
      <c r="D28" s="9">
        <v>70.0</v>
      </c>
      <c r="E28" s="9" t="s">
        <v>122</v>
      </c>
      <c r="F28" s="9" t="s">
        <v>122</v>
      </c>
      <c r="G28" s="9" t="s">
        <v>45</v>
      </c>
      <c r="H28" s="9" t="s">
        <v>123</v>
      </c>
    </row>
    <row r="29">
      <c r="A29" s="9" t="s">
        <v>124</v>
      </c>
      <c r="B29" s="9" t="s">
        <v>49</v>
      </c>
      <c r="C29" s="9" t="s">
        <v>121</v>
      </c>
      <c r="D29" s="9">
        <v>70.0</v>
      </c>
      <c r="E29" s="9" t="s">
        <v>122</v>
      </c>
      <c r="F29" s="9" t="s">
        <v>122</v>
      </c>
      <c r="G29" s="9" t="s">
        <v>45</v>
      </c>
      <c r="H29" s="9" t="s">
        <v>123</v>
      </c>
    </row>
    <row r="30">
      <c r="A30" s="16" t="s">
        <v>126</v>
      </c>
      <c r="B30" s="16" t="s">
        <v>60</v>
      </c>
      <c r="C30" s="16" t="s">
        <v>128</v>
      </c>
      <c r="D30" s="17">
        <f>SUM(D26:D29)</f>
        <v>280</v>
      </c>
      <c r="E30" s="16" t="s">
        <v>131</v>
      </c>
      <c r="F30" s="16" t="s">
        <v>132</v>
      </c>
      <c r="G30" s="16" t="s">
        <v>45</v>
      </c>
      <c r="H30" s="16" t="s">
        <v>133</v>
      </c>
    </row>
  </sheetData>
  <mergeCells count="13">
    <mergeCell ref="E4:F4"/>
    <mergeCell ref="G4:H4"/>
    <mergeCell ref="G5:H5"/>
    <mergeCell ref="A7:H7"/>
    <mergeCell ref="A15:H15"/>
    <mergeCell ref="A24:H24"/>
    <mergeCell ref="A1:H1"/>
    <mergeCell ref="A2:H2"/>
    <mergeCell ref="A4:B4"/>
    <mergeCell ref="A5:B5"/>
    <mergeCell ref="C4:D4"/>
    <mergeCell ref="C5:D5"/>
    <mergeCell ref="E5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7.5"/>
    <col customWidth="1" min="2" max="2" width="22.88"/>
    <col customWidth="1" min="3" max="3" width="21.88"/>
    <col customWidth="1" min="4" max="4" width="13.25"/>
    <col customWidth="1" min="5" max="5" width="24.38"/>
    <col customWidth="1" min="6" max="6" width="15.88"/>
    <col customWidth="1" min="7" max="7" width="35.13"/>
    <col customWidth="1" min="8" max="8" width="28.5"/>
  </cols>
  <sheetData>
    <row r="1" ht="27.0" customHeight="1">
      <c r="A1" s="1" t="s">
        <v>2</v>
      </c>
    </row>
    <row r="2" ht="18.0" customHeight="1">
      <c r="A2" s="2" t="s">
        <v>5</v>
      </c>
    </row>
    <row r="3">
      <c r="A3" s="3" t="s">
        <v>6</v>
      </c>
      <c r="B3" s="3" t="s">
        <v>6</v>
      </c>
      <c r="C3" s="3" t="s">
        <v>6</v>
      </c>
      <c r="D3" s="3" t="s">
        <v>6</v>
      </c>
      <c r="E3" s="3" t="s">
        <v>6</v>
      </c>
      <c r="F3" s="3" t="s">
        <v>6</v>
      </c>
      <c r="G3" s="3" t="s">
        <v>6</v>
      </c>
      <c r="H3" s="3" t="s">
        <v>6</v>
      </c>
    </row>
    <row r="4" ht="19.5" customHeight="1">
      <c r="A4" s="4" t="s">
        <v>8</v>
      </c>
      <c r="B4" s="5"/>
      <c r="C4" s="4" t="s">
        <v>10</v>
      </c>
      <c r="D4" s="5"/>
      <c r="E4" s="4" t="s">
        <v>12</v>
      </c>
      <c r="F4" s="5"/>
      <c r="G4" s="4" t="s">
        <v>14</v>
      </c>
      <c r="H4" s="5"/>
    </row>
    <row r="5" ht="28.5" customHeight="1">
      <c r="A5" s="6">
        <f>COUNTA(B9:B18)</f>
        <v>10</v>
      </c>
      <c r="B5" s="5"/>
      <c r="C5" s="6">
        <f>SUM(D9:D18)</f>
        <v>500</v>
      </c>
      <c r="D5" s="5"/>
      <c r="E5" s="6">
        <f>COUNTA(A23:A29)</f>
        <v>7</v>
      </c>
      <c r="F5" s="5"/>
      <c r="G5" s="6">
        <f>SUM(D23:D29)</f>
        <v>445</v>
      </c>
      <c r="H5" s="5"/>
    </row>
    <row r="7" ht="21.0" customHeight="1">
      <c r="A7" s="7" t="s">
        <v>21</v>
      </c>
    </row>
    <row r="8" ht="21.0" customHeight="1">
      <c r="A8" s="8" t="s">
        <v>22</v>
      </c>
      <c r="B8" s="8" t="s">
        <v>23</v>
      </c>
      <c r="C8" s="8" t="s">
        <v>27</v>
      </c>
      <c r="D8" s="8" t="s">
        <v>25</v>
      </c>
      <c r="E8" s="8" t="s">
        <v>26</v>
      </c>
      <c r="F8" s="8" t="s">
        <v>33</v>
      </c>
      <c r="G8" s="8" t="s">
        <v>30</v>
      </c>
      <c r="H8" s="8" t="s">
        <v>31</v>
      </c>
    </row>
    <row r="9">
      <c r="A9" s="9" t="s">
        <v>37</v>
      </c>
      <c r="B9" s="9" t="s">
        <v>35</v>
      </c>
      <c r="C9" s="9" t="s">
        <v>44</v>
      </c>
      <c r="D9" s="9">
        <v>50.0</v>
      </c>
      <c r="E9" s="9" t="s">
        <v>48</v>
      </c>
      <c r="F9" s="9" t="s">
        <v>40</v>
      </c>
      <c r="G9" s="9" t="s">
        <v>41</v>
      </c>
      <c r="H9" s="9" t="s">
        <v>50</v>
      </c>
    </row>
    <row r="10">
      <c r="A10" s="9" t="s">
        <v>37</v>
      </c>
      <c r="B10" s="9" t="s">
        <v>49</v>
      </c>
      <c r="C10" s="9" t="s">
        <v>44</v>
      </c>
      <c r="D10" s="9">
        <v>50.0</v>
      </c>
      <c r="E10" s="9" t="s">
        <v>38</v>
      </c>
      <c r="F10" s="9" t="s">
        <v>40</v>
      </c>
      <c r="G10" s="9" t="s">
        <v>41</v>
      </c>
      <c r="H10" s="9" t="s">
        <v>80</v>
      </c>
    </row>
    <row r="11">
      <c r="A11" s="9" t="s">
        <v>81</v>
      </c>
      <c r="B11" s="9" t="s">
        <v>35</v>
      </c>
      <c r="C11" s="9" t="s">
        <v>44</v>
      </c>
      <c r="D11" s="9">
        <v>50.0</v>
      </c>
      <c r="E11" s="9" t="s">
        <v>82</v>
      </c>
      <c r="F11" s="9" t="s">
        <v>40</v>
      </c>
      <c r="G11" s="9" t="s">
        <v>41</v>
      </c>
      <c r="H11" s="9" t="s">
        <v>83</v>
      </c>
    </row>
    <row r="12">
      <c r="A12" s="9" t="s">
        <v>81</v>
      </c>
      <c r="B12" s="9" t="s">
        <v>49</v>
      </c>
      <c r="C12" s="9" t="s">
        <v>44</v>
      </c>
      <c r="D12" s="9">
        <v>50.0</v>
      </c>
      <c r="E12" s="9" t="s">
        <v>86</v>
      </c>
      <c r="F12" s="9" t="s">
        <v>87</v>
      </c>
      <c r="G12" s="9" t="s">
        <v>90</v>
      </c>
      <c r="H12" s="9" t="s">
        <v>91</v>
      </c>
    </row>
    <row r="13">
      <c r="A13" s="9" t="s">
        <v>81</v>
      </c>
      <c r="B13" s="9" t="s">
        <v>93</v>
      </c>
      <c r="C13" s="9" t="s">
        <v>44</v>
      </c>
      <c r="D13" s="9">
        <v>50.0</v>
      </c>
      <c r="E13" s="9" t="s">
        <v>97</v>
      </c>
      <c r="F13" s="9" t="s">
        <v>87</v>
      </c>
      <c r="G13" s="9" t="s">
        <v>90</v>
      </c>
      <c r="H13" s="9" t="s">
        <v>91</v>
      </c>
    </row>
    <row r="14">
      <c r="A14" s="9" t="s">
        <v>81</v>
      </c>
      <c r="B14" s="9" t="s">
        <v>99</v>
      </c>
      <c r="C14" s="9" t="s">
        <v>44</v>
      </c>
      <c r="D14" s="9">
        <v>50.0</v>
      </c>
      <c r="E14" s="9" t="s">
        <v>82</v>
      </c>
      <c r="F14" s="9" t="s">
        <v>40</v>
      </c>
      <c r="G14" s="9" t="s">
        <v>41</v>
      </c>
      <c r="H14" s="9" t="s">
        <v>101</v>
      </c>
    </row>
    <row r="15">
      <c r="A15" s="9" t="s">
        <v>102</v>
      </c>
      <c r="B15" s="9" t="s">
        <v>35</v>
      </c>
      <c r="C15" s="9" t="s">
        <v>44</v>
      </c>
      <c r="D15" s="9">
        <v>50.0</v>
      </c>
      <c r="E15" s="9" t="s">
        <v>86</v>
      </c>
      <c r="F15" s="9" t="s">
        <v>40</v>
      </c>
      <c r="G15" s="9" t="s">
        <v>41</v>
      </c>
      <c r="H15" s="9" t="s">
        <v>106</v>
      </c>
    </row>
    <row r="16">
      <c r="A16" s="9" t="s">
        <v>102</v>
      </c>
      <c r="B16" s="9" t="s">
        <v>49</v>
      </c>
      <c r="C16" s="9" t="s">
        <v>44</v>
      </c>
      <c r="D16" s="9">
        <v>50.0</v>
      </c>
      <c r="E16" s="9" t="s">
        <v>97</v>
      </c>
      <c r="F16" s="9" t="s">
        <v>40</v>
      </c>
      <c r="G16" s="9" t="s">
        <v>41</v>
      </c>
      <c r="H16" s="9" t="s">
        <v>106</v>
      </c>
    </row>
    <row r="17">
      <c r="A17" s="9" t="s">
        <v>102</v>
      </c>
      <c r="B17" s="9" t="s">
        <v>93</v>
      </c>
      <c r="C17" s="9" t="s">
        <v>44</v>
      </c>
      <c r="D17" s="9">
        <v>50.0</v>
      </c>
      <c r="E17" s="9" t="s">
        <v>48</v>
      </c>
      <c r="F17" s="9" t="s">
        <v>87</v>
      </c>
      <c r="G17" s="9" t="s">
        <v>90</v>
      </c>
      <c r="H17" s="9" t="s">
        <v>91</v>
      </c>
    </row>
    <row r="18">
      <c r="A18" s="9" t="s">
        <v>102</v>
      </c>
      <c r="B18" s="9" t="s">
        <v>99</v>
      </c>
      <c r="C18" s="9" t="s">
        <v>44</v>
      </c>
      <c r="D18" s="9">
        <v>50.0</v>
      </c>
      <c r="E18" s="9" t="s">
        <v>38</v>
      </c>
      <c r="F18" s="9" t="s">
        <v>87</v>
      </c>
      <c r="G18" s="9" t="s">
        <v>90</v>
      </c>
      <c r="H18" s="9" t="s">
        <v>108</v>
      </c>
    </row>
    <row r="19">
      <c r="A19" s="10" t="s">
        <v>109</v>
      </c>
      <c r="B19" s="10" t="s">
        <v>110</v>
      </c>
      <c r="C19" s="10" t="s">
        <v>44</v>
      </c>
      <c r="D19" s="11">
        <f>SUM(D9:D18)</f>
        <v>500</v>
      </c>
      <c r="E19" s="10" t="s">
        <v>113</v>
      </c>
      <c r="F19" s="10" t="s">
        <v>71</v>
      </c>
      <c r="G19" s="10" t="s">
        <v>114</v>
      </c>
      <c r="H19" s="10" t="s">
        <v>115</v>
      </c>
    </row>
    <row r="21" ht="21.0" customHeight="1">
      <c r="A21" s="7" t="s">
        <v>117</v>
      </c>
    </row>
    <row r="22" ht="21.0" customHeight="1">
      <c r="A22" s="8" t="s">
        <v>65</v>
      </c>
      <c r="B22" s="8" t="s">
        <v>66</v>
      </c>
      <c r="C22" s="8" t="s">
        <v>30</v>
      </c>
      <c r="D22" s="8" t="s">
        <v>67</v>
      </c>
      <c r="E22" s="8" t="s">
        <v>68</v>
      </c>
      <c r="F22" s="8" t="s">
        <v>70</v>
      </c>
      <c r="G22" s="8" t="s">
        <v>118</v>
      </c>
      <c r="H22" s="8" t="s">
        <v>73</v>
      </c>
    </row>
    <row r="23">
      <c r="A23" s="9" t="s">
        <v>48</v>
      </c>
      <c r="B23" s="9" t="s">
        <v>75</v>
      </c>
      <c r="C23" s="9" t="s">
        <v>41</v>
      </c>
      <c r="D23" s="9">
        <v>65.0</v>
      </c>
      <c r="E23" s="9">
        <v>50.0</v>
      </c>
      <c r="F23" s="12">
        <f t="shared" ref="F23:F29" si="1">E23/D23</f>
        <v>0.7692307692</v>
      </c>
      <c r="G23" s="9" t="s">
        <v>125</v>
      </c>
      <c r="H23" s="9" t="s">
        <v>36</v>
      </c>
    </row>
    <row r="24">
      <c r="A24" s="9" t="s">
        <v>38</v>
      </c>
      <c r="B24" s="9" t="s">
        <v>75</v>
      </c>
      <c r="C24" s="9" t="s">
        <v>41</v>
      </c>
      <c r="D24" s="9">
        <v>65.0</v>
      </c>
      <c r="E24" s="9">
        <v>50.0</v>
      </c>
      <c r="F24" s="12">
        <f t="shared" si="1"/>
        <v>0.7692307692</v>
      </c>
      <c r="G24" s="9" t="s">
        <v>127</v>
      </c>
      <c r="H24" s="9" t="s">
        <v>129</v>
      </c>
    </row>
    <row r="25">
      <c r="A25" s="9" t="s">
        <v>82</v>
      </c>
      <c r="B25" s="9" t="s">
        <v>75</v>
      </c>
      <c r="C25" s="9" t="s">
        <v>41</v>
      </c>
      <c r="D25" s="9">
        <v>65.0</v>
      </c>
      <c r="E25" s="9">
        <v>50.0</v>
      </c>
      <c r="F25" s="12">
        <f t="shared" si="1"/>
        <v>0.7692307692</v>
      </c>
      <c r="G25" s="9" t="s">
        <v>130</v>
      </c>
      <c r="H25" s="9" t="s">
        <v>36</v>
      </c>
    </row>
    <row r="26">
      <c r="A26" s="9" t="s">
        <v>86</v>
      </c>
      <c r="B26" s="9" t="s">
        <v>75</v>
      </c>
      <c r="C26" s="9" t="s">
        <v>41</v>
      </c>
      <c r="D26" s="9">
        <v>65.0</v>
      </c>
      <c r="E26" s="9">
        <v>50.0</v>
      </c>
      <c r="F26" s="12">
        <f t="shared" si="1"/>
        <v>0.7692307692</v>
      </c>
      <c r="G26" s="9" t="s">
        <v>134</v>
      </c>
      <c r="H26" s="9" t="s">
        <v>36</v>
      </c>
    </row>
    <row r="27">
      <c r="A27" s="9" t="s">
        <v>97</v>
      </c>
      <c r="B27" s="9" t="s">
        <v>75</v>
      </c>
      <c r="C27" s="9" t="s">
        <v>41</v>
      </c>
      <c r="D27" s="9">
        <v>65.0</v>
      </c>
      <c r="E27" s="9">
        <v>50.0</v>
      </c>
      <c r="F27" s="12">
        <f t="shared" si="1"/>
        <v>0.7692307692</v>
      </c>
      <c r="G27" s="9" t="s">
        <v>135</v>
      </c>
      <c r="H27" s="9" t="s">
        <v>36</v>
      </c>
    </row>
    <row r="28">
      <c r="A28" s="9" t="s">
        <v>40</v>
      </c>
      <c r="B28" s="9" t="s">
        <v>88</v>
      </c>
      <c r="C28" s="9" t="s">
        <v>41</v>
      </c>
      <c r="D28" s="9">
        <v>60.0</v>
      </c>
      <c r="E28" s="9">
        <v>50.0</v>
      </c>
      <c r="F28" s="12">
        <f t="shared" si="1"/>
        <v>0.8333333333</v>
      </c>
      <c r="G28" s="9" t="s">
        <v>136</v>
      </c>
      <c r="H28" s="9" t="s">
        <v>137</v>
      </c>
    </row>
    <row r="29">
      <c r="A29" s="9" t="s">
        <v>87</v>
      </c>
      <c r="B29" s="9" t="s">
        <v>138</v>
      </c>
      <c r="C29" s="9" t="s">
        <v>139</v>
      </c>
      <c r="D29" s="9">
        <v>60.0</v>
      </c>
      <c r="E29" s="9">
        <v>50.0</v>
      </c>
      <c r="F29" s="12">
        <f t="shared" si="1"/>
        <v>0.8333333333</v>
      </c>
      <c r="G29" s="9" t="s">
        <v>140</v>
      </c>
      <c r="H29" s="9" t="s">
        <v>129</v>
      </c>
    </row>
    <row r="30">
      <c r="A30" s="10" t="s">
        <v>141</v>
      </c>
      <c r="B30" s="10" t="s">
        <v>142</v>
      </c>
      <c r="C30" s="10" t="s">
        <v>114</v>
      </c>
      <c r="D30" s="11">
        <f t="shared" ref="D30:E30" si="2">SUM(D23:D29)</f>
        <v>445</v>
      </c>
      <c r="E30" s="11">
        <f t="shared" si="2"/>
        <v>350</v>
      </c>
      <c r="F30" s="13">
        <f>AVERAGE(F23:F29)</f>
        <v>0.7875457875</v>
      </c>
      <c r="G30" s="10" t="s">
        <v>143</v>
      </c>
      <c r="H30" s="10" t="s">
        <v>107</v>
      </c>
    </row>
  </sheetData>
  <mergeCells count="12">
    <mergeCell ref="E4:F4"/>
    <mergeCell ref="G4:H4"/>
    <mergeCell ref="G5:H5"/>
    <mergeCell ref="A7:H7"/>
    <mergeCell ref="A21:H21"/>
    <mergeCell ref="A1:H1"/>
    <mergeCell ref="A2:H2"/>
    <mergeCell ref="A4:B4"/>
    <mergeCell ref="A5:B5"/>
    <mergeCell ref="C4:D4"/>
    <mergeCell ref="C5:D5"/>
    <mergeCell ref="E5:F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8.88"/>
    <col customWidth="1" min="2" max="2" width="20.63"/>
    <col customWidth="1" min="3" max="3" width="26.63"/>
    <col customWidth="1" min="4" max="4" width="13.25"/>
    <col customWidth="1" min="5" max="5" width="23.63"/>
    <col customWidth="1" min="6" max="6" width="16.0"/>
    <col customWidth="1" min="7" max="7" width="36.75"/>
    <col customWidth="1" min="8" max="8" width="27.25"/>
  </cols>
  <sheetData>
    <row r="1" ht="27.0" customHeight="1">
      <c r="A1" s="1" t="s">
        <v>0</v>
      </c>
    </row>
    <row r="2" ht="18.0" customHeight="1">
      <c r="A2" s="2" t="s">
        <v>3</v>
      </c>
    </row>
    <row r="3">
      <c r="A3" s="3" t="s">
        <v>6</v>
      </c>
      <c r="B3" s="3" t="s">
        <v>6</v>
      </c>
      <c r="C3" s="3" t="s">
        <v>6</v>
      </c>
      <c r="D3" s="3" t="s">
        <v>6</v>
      </c>
      <c r="E3" s="3" t="s">
        <v>6</v>
      </c>
      <c r="F3" s="3" t="s">
        <v>6</v>
      </c>
      <c r="G3" s="3" t="s">
        <v>6</v>
      </c>
      <c r="H3" s="3" t="s">
        <v>6</v>
      </c>
    </row>
    <row r="4" ht="19.5" customHeight="1">
      <c r="A4" s="4" t="s">
        <v>7</v>
      </c>
      <c r="B4" s="5"/>
      <c r="C4" s="4" t="s">
        <v>11</v>
      </c>
      <c r="D4" s="5"/>
      <c r="E4" s="4" t="s">
        <v>13</v>
      </c>
      <c r="F4" s="5"/>
      <c r="G4" s="4" t="s">
        <v>16</v>
      </c>
      <c r="H4" s="5"/>
    </row>
    <row r="5" ht="28.5" customHeight="1">
      <c r="A5" s="6">
        <f>COUNTA(B9:B10)</f>
        <v>2</v>
      </c>
      <c r="B5" s="5"/>
      <c r="C5" s="6">
        <f>SUM(D9:D10)</f>
        <v>40</v>
      </c>
      <c r="D5" s="5"/>
      <c r="E5" s="6">
        <f>COUNTA(A15:A16)</f>
        <v>2</v>
      </c>
      <c r="F5" s="5"/>
      <c r="G5" s="6">
        <f>SUM(D15:D16)</f>
        <v>125</v>
      </c>
      <c r="H5" s="5"/>
    </row>
    <row r="7" ht="21.0" customHeight="1">
      <c r="A7" s="7" t="s">
        <v>20</v>
      </c>
    </row>
    <row r="8" ht="21.0" customHeight="1">
      <c r="A8" s="8" t="s">
        <v>22</v>
      </c>
      <c r="B8" s="8" t="s">
        <v>23</v>
      </c>
      <c r="C8" s="8" t="s">
        <v>24</v>
      </c>
      <c r="D8" s="8" t="s">
        <v>25</v>
      </c>
      <c r="E8" s="8" t="s">
        <v>26</v>
      </c>
      <c r="F8" s="8" t="s">
        <v>29</v>
      </c>
      <c r="G8" s="8" t="s">
        <v>30</v>
      </c>
      <c r="H8" s="8" t="s">
        <v>31</v>
      </c>
    </row>
    <row r="9">
      <c r="A9" s="9" t="s">
        <v>32</v>
      </c>
      <c r="B9" s="9" t="s">
        <v>35</v>
      </c>
      <c r="C9" s="9" t="s">
        <v>36</v>
      </c>
      <c r="D9" s="9">
        <v>20.0</v>
      </c>
      <c r="E9" s="9" t="s">
        <v>38</v>
      </c>
      <c r="F9" s="9" t="s">
        <v>40</v>
      </c>
      <c r="G9" s="9" t="s">
        <v>41</v>
      </c>
      <c r="H9" s="9" t="s">
        <v>43</v>
      </c>
    </row>
    <row r="10">
      <c r="A10" s="9" t="s">
        <v>46</v>
      </c>
      <c r="B10" s="9" t="s">
        <v>35</v>
      </c>
      <c r="C10" s="9" t="s">
        <v>36</v>
      </c>
      <c r="D10" s="9">
        <v>20.0</v>
      </c>
      <c r="E10" s="9" t="s">
        <v>38</v>
      </c>
      <c r="F10" s="9" t="s">
        <v>40</v>
      </c>
      <c r="G10" s="9" t="s">
        <v>41</v>
      </c>
      <c r="H10" s="9" t="s">
        <v>51</v>
      </c>
    </row>
    <row r="11">
      <c r="A11" s="10" t="s">
        <v>53</v>
      </c>
      <c r="B11" s="10" t="s">
        <v>55</v>
      </c>
      <c r="C11" s="10" t="s">
        <v>36</v>
      </c>
      <c r="D11" s="11">
        <f>SUM(D9:D10)</f>
        <v>40</v>
      </c>
      <c r="E11" s="10" t="s">
        <v>61</v>
      </c>
      <c r="F11" s="10" t="s">
        <v>62</v>
      </c>
      <c r="G11" s="10" t="s">
        <v>41</v>
      </c>
      <c r="H11" s="10" t="s">
        <v>63</v>
      </c>
    </row>
    <row r="13" ht="21.0" customHeight="1">
      <c r="A13" s="7" t="s">
        <v>64</v>
      </c>
    </row>
    <row r="14" ht="21.0" customHeight="1">
      <c r="A14" s="8" t="s">
        <v>65</v>
      </c>
      <c r="B14" s="8" t="s">
        <v>66</v>
      </c>
      <c r="C14" s="8" t="s">
        <v>30</v>
      </c>
      <c r="D14" s="8" t="s">
        <v>67</v>
      </c>
      <c r="E14" s="8" t="s">
        <v>68</v>
      </c>
      <c r="F14" s="8" t="s">
        <v>70</v>
      </c>
      <c r="G14" s="8" t="s">
        <v>72</v>
      </c>
      <c r="H14" s="8" t="s">
        <v>73</v>
      </c>
    </row>
    <row r="15">
      <c r="A15" s="9" t="s">
        <v>38</v>
      </c>
      <c r="B15" s="9" t="s">
        <v>75</v>
      </c>
      <c r="C15" s="9" t="s">
        <v>41</v>
      </c>
      <c r="D15" s="9">
        <v>65.0</v>
      </c>
      <c r="E15" s="9">
        <v>20.0</v>
      </c>
      <c r="F15" s="12">
        <f t="shared" ref="F15:F16" si="1">E15/D15</f>
        <v>0.3076923077</v>
      </c>
      <c r="G15" s="9" t="s">
        <v>84</v>
      </c>
      <c r="H15" s="9" t="s">
        <v>85</v>
      </c>
    </row>
    <row r="16">
      <c r="A16" s="9" t="s">
        <v>40</v>
      </c>
      <c r="B16" s="9" t="s">
        <v>88</v>
      </c>
      <c r="C16" s="9" t="s">
        <v>41</v>
      </c>
      <c r="D16" s="9">
        <v>60.0</v>
      </c>
      <c r="E16" s="9">
        <v>20.0</v>
      </c>
      <c r="F16" s="12">
        <f t="shared" si="1"/>
        <v>0.3333333333</v>
      </c>
      <c r="G16" s="9" t="s">
        <v>92</v>
      </c>
      <c r="H16" s="9" t="s">
        <v>85</v>
      </c>
    </row>
    <row r="17">
      <c r="A17" s="10" t="s">
        <v>94</v>
      </c>
      <c r="B17" s="10" t="s">
        <v>96</v>
      </c>
      <c r="C17" s="10" t="s">
        <v>41</v>
      </c>
      <c r="D17" s="11">
        <f t="shared" ref="D17:E17" si="2">SUM(D15:D16)</f>
        <v>125</v>
      </c>
      <c r="E17" s="11">
        <f t="shared" si="2"/>
        <v>40</v>
      </c>
      <c r="F17" s="13">
        <f>AVERAGE(F15:F16)</f>
        <v>0.3205128205</v>
      </c>
      <c r="G17" s="10" t="s">
        <v>105</v>
      </c>
      <c r="H17" s="10" t="s">
        <v>107</v>
      </c>
    </row>
  </sheetData>
  <mergeCells count="12">
    <mergeCell ref="E4:F4"/>
    <mergeCell ref="G4:H4"/>
    <mergeCell ref="G5:H5"/>
    <mergeCell ref="A7:H7"/>
    <mergeCell ref="A13:H13"/>
    <mergeCell ref="A1:H1"/>
    <mergeCell ref="A2:H2"/>
    <mergeCell ref="A4:B4"/>
    <mergeCell ref="A5:B5"/>
    <mergeCell ref="C4:D4"/>
    <mergeCell ref="C5:D5"/>
    <mergeCell ref="E5:F5"/>
  </mergeCells>
  <drawing r:id="rId1"/>
</worksheet>
</file>